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ciones" sheetId="1" r:id="rId5"/>
    <sheet state="visible" name="Promedios" sheetId="2" r:id="rId6"/>
  </sheets>
  <definedNames/>
  <calcPr/>
</workbook>
</file>

<file path=xl/sharedStrings.xml><?xml version="1.0" encoding="utf-8"?>
<sst xmlns="http://schemas.openxmlformats.org/spreadsheetml/2006/main" count="65" uniqueCount="35">
  <si>
    <t xml:space="preserve">Promedios de las 5 iteraciones </t>
  </si>
  <si>
    <t>5 iteraciones — mismos mapa/semilla/inicio/meta para los 5 algoritmos por iteración</t>
  </si>
  <si>
    <t>Algoritmo</t>
  </si>
  <si>
    <t>Iteración</t>
  </si>
  <si>
    <t>Tiempo (ms) prom.</t>
  </si>
  <si>
    <t>Semilla</t>
  </si>
  <si>
    <t>Nodos Expandidos prom.</t>
  </si>
  <si>
    <t>Inicio</t>
  </si>
  <si>
    <t>Longitud (Pasos) prom.</t>
  </si>
  <si>
    <t>Meta</t>
  </si>
  <si>
    <t>Costo Ponderado prom.</t>
  </si>
  <si>
    <t>Agua (pasos) prom.</t>
  </si>
  <si>
    <t>Bosque (pasos) prom.</t>
  </si>
  <si>
    <t>Tiempo (ms)</t>
  </si>
  <si>
    <t>Nodos Expandidos</t>
  </si>
  <si>
    <t>A*</t>
  </si>
  <si>
    <t>Longitud (Pasos)</t>
  </si>
  <si>
    <t>Costo Ponderado</t>
  </si>
  <si>
    <t>Agua (pasos)</t>
  </si>
  <si>
    <t>Bosque (pasos)</t>
  </si>
  <si>
    <t>(20, 32)</t>
  </si>
  <si>
    <t>(4, 4)</t>
  </si>
  <si>
    <t>Greedy</t>
  </si>
  <si>
    <t>ACO</t>
  </si>
  <si>
    <t>RRT*</t>
  </si>
  <si>
    <t>Native</t>
  </si>
  <si>
    <t>N/A</t>
  </si>
  <si>
    <t>(28, 20)</t>
  </si>
  <si>
    <t>(10, 19)</t>
  </si>
  <si>
    <t>(6, 9)</t>
  </si>
  <si>
    <t>(40, 7)</t>
  </si>
  <si>
    <t>(11, 28)</t>
  </si>
  <si>
    <t>(38, 26)</t>
  </si>
  <si>
    <t>(13, 33)</t>
  </si>
  <si>
    <t>(30, 34)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</si>
</sst>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404040"/>
      <name val="Arial"/>
    </font>
    <font>
      <b/>
      <sz val="11.0"/>
      <color rgb="FFFFFFFF"/>
      <name val="Arial"/>
    </font>
    <font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1F8"/>
        <bgColor rgb="FFEAF1F8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bottom" wrapText="0"/>
    </xf>
    <xf borderId="1" fillId="0" fontId="4" numFmtId="2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0"/>
    <col customWidth="1" min="3" max="4" width="12.0"/>
    <col customWidth="1" min="5" max="5" width="11.0"/>
    <col customWidth="1" min="6" max="6" width="12.0"/>
    <col customWidth="1" min="7" max="7" width="15.0"/>
    <col customWidth="1" min="8" max="9" width="14.0"/>
    <col customWidth="1" min="10" max="10" width="11.0"/>
    <col customWidth="1" min="11" max="11" width="12.0"/>
    <col customWidth="1" min="12" max="26" width="8.71"/>
  </cols>
  <sheetData>
    <row r="1">
      <c r="A1" s="1" t="s">
        <v>1</v>
      </c>
    </row>
    <row r="2">
      <c r="A2" s="2"/>
    </row>
    <row r="4">
      <c r="A4" s="3" t="s">
        <v>3</v>
      </c>
      <c r="B4" s="3" t="s">
        <v>5</v>
      </c>
      <c r="C4" s="3" t="s">
        <v>7</v>
      </c>
      <c r="D4" s="3" t="s">
        <v>9</v>
      </c>
      <c r="E4" s="3" t="s">
        <v>2</v>
      </c>
      <c r="F4" s="3" t="s">
        <v>13</v>
      </c>
      <c r="G4" s="3" t="s">
        <v>14</v>
      </c>
      <c r="H4" s="3" t="s">
        <v>16</v>
      </c>
      <c r="I4" s="3" t="s">
        <v>17</v>
      </c>
      <c r="J4" s="3" t="s">
        <v>18</v>
      </c>
      <c r="K4" s="3" t="s">
        <v>19</v>
      </c>
    </row>
    <row r="5">
      <c r="A5" s="5">
        <v>1.0</v>
      </c>
      <c r="B5" s="5">
        <v>1.786823222E9</v>
      </c>
      <c r="C5" s="5" t="s">
        <v>20</v>
      </c>
      <c r="D5" s="5" t="s">
        <v>21</v>
      </c>
      <c r="E5" s="7" t="s">
        <v>15</v>
      </c>
      <c r="F5" s="7">
        <v>0.4121</v>
      </c>
      <c r="G5" s="7">
        <v>91.0</v>
      </c>
      <c r="H5" s="7">
        <v>55.0</v>
      </c>
      <c r="I5" s="7">
        <v>210.0</v>
      </c>
      <c r="J5" s="7">
        <v>5.0</v>
      </c>
      <c r="K5" s="7">
        <v>15.0</v>
      </c>
    </row>
    <row r="6">
      <c r="A6" s="8"/>
      <c r="B6" s="8"/>
      <c r="C6" s="8"/>
      <c r="D6" s="8"/>
      <c r="E6" s="7" t="s">
        <v>22</v>
      </c>
      <c r="F6" s="7">
        <v>0.2806</v>
      </c>
      <c r="G6" s="7">
        <v>85.0</v>
      </c>
      <c r="H6" s="7">
        <v>59.0</v>
      </c>
      <c r="I6" s="7">
        <v>272.0</v>
      </c>
      <c r="J6" s="7">
        <v>7.0</v>
      </c>
      <c r="K6" s="7">
        <v>20.0</v>
      </c>
    </row>
    <row r="7">
      <c r="A7" s="8"/>
      <c r="B7" s="8"/>
      <c r="C7" s="8"/>
      <c r="D7" s="8"/>
      <c r="E7" s="7" t="s">
        <v>23</v>
      </c>
      <c r="F7" s="7">
        <v>1706.9733</v>
      </c>
      <c r="G7" s="7">
        <v>15965.0</v>
      </c>
      <c r="H7" s="7">
        <v>79.0</v>
      </c>
      <c r="I7" s="7">
        <v>307.0</v>
      </c>
      <c r="J7" s="7">
        <v>8.0</v>
      </c>
      <c r="K7" s="7">
        <v>19.0</v>
      </c>
    </row>
    <row r="8">
      <c r="A8" s="8"/>
      <c r="B8" s="8"/>
      <c r="C8" s="8"/>
      <c r="D8" s="8"/>
      <c r="E8" s="7" t="s">
        <v>24</v>
      </c>
      <c r="F8" s="7">
        <v>3464.2499</v>
      </c>
      <c r="G8" s="7">
        <v>1258.0</v>
      </c>
      <c r="H8" s="7">
        <v>83.0</v>
      </c>
      <c r="I8" s="7">
        <v>311.0</v>
      </c>
      <c r="J8" s="7">
        <v>8.0</v>
      </c>
      <c r="K8" s="7">
        <v>19.0</v>
      </c>
    </row>
    <row r="9">
      <c r="A9" s="9"/>
      <c r="B9" s="9"/>
      <c r="C9" s="9"/>
      <c r="D9" s="9"/>
      <c r="E9" s="7" t="s">
        <v>25</v>
      </c>
      <c r="F9" s="7">
        <v>267.891</v>
      </c>
      <c r="G9" s="7" t="s">
        <v>26</v>
      </c>
      <c r="H9" s="7">
        <v>84.0</v>
      </c>
      <c r="I9" s="7">
        <v>221.0</v>
      </c>
      <c r="J9" s="7">
        <v>3.0</v>
      </c>
      <c r="K9" s="7">
        <v>20.0</v>
      </c>
    </row>
    <row r="10">
      <c r="A10" s="5">
        <v>2.0</v>
      </c>
      <c r="B10" s="5">
        <v>1.786823448E9</v>
      </c>
      <c r="C10" s="5" t="s">
        <v>27</v>
      </c>
      <c r="D10" s="5" t="s">
        <v>28</v>
      </c>
      <c r="E10" s="7" t="s">
        <v>15</v>
      </c>
      <c r="F10" s="7">
        <v>0.4242</v>
      </c>
      <c r="G10" s="7">
        <v>67.0</v>
      </c>
      <c r="H10" s="7">
        <v>34.0</v>
      </c>
      <c r="I10" s="7">
        <v>89.0</v>
      </c>
      <c r="J10" s="7">
        <v>1.0</v>
      </c>
      <c r="K10" s="7">
        <v>9.0</v>
      </c>
    </row>
    <row r="11">
      <c r="A11" s="8"/>
      <c r="B11" s="8"/>
      <c r="C11" s="8"/>
      <c r="D11" s="8"/>
      <c r="E11" s="7" t="s">
        <v>22</v>
      </c>
      <c r="F11" s="7">
        <v>0.0864</v>
      </c>
      <c r="G11" s="7">
        <v>35.0</v>
      </c>
      <c r="H11" s="7">
        <v>30.0</v>
      </c>
      <c r="I11" s="7">
        <v>115.0</v>
      </c>
      <c r="J11" s="7">
        <v>3.0</v>
      </c>
      <c r="K11" s="7">
        <v>7.0</v>
      </c>
    </row>
    <row r="12">
      <c r="A12" s="8"/>
      <c r="B12" s="8"/>
      <c r="C12" s="8"/>
      <c r="D12" s="8"/>
      <c r="E12" s="7" t="s">
        <v>23</v>
      </c>
      <c r="F12" s="7">
        <v>1781.0541</v>
      </c>
      <c r="G12" s="7">
        <v>14866.0</v>
      </c>
      <c r="H12" s="7">
        <v>30.0</v>
      </c>
      <c r="I12" s="7">
        <v>115.0</v>
      </c>
      <c r="J12" s="7">
        <v>3.0</v>
      </c>
      <c r="K12" s="7">
        <v>7.0</v>
      </c>
    </row>
    <row r="13">
      <c r="A13" s="8"/>
      <c r="B13" s="8"/>
      <c r="C13" s="8"/>
      <c r="D13" s="8"/>
      <c r="E13" s="7" t="s">
        <v>24</v>
      </c>
      <c r="F13" s="7">
        <v>3546.721</v>
      </c>
      <c r="G13" s="7">
        <v>1343.0</v>
      </c>
      <c r="H13" s="7">
        <v>33.0</v>
      </c>
      <c r="I13" s="7">
        <v>122.0</v>
      </c>
      <c r="J13" s="7">
        <v>3.0</v>
      </c>
      <c r="K13" s="7">
        <v>8.0</v>
      </c>
    </row>
    <row r="14">
      <c r="A14" s="9"/>
      <c r="B14" s="9"/>
      <c r="C14" s="9"/>
      <c r="D14" s="9"/>
      <c r="E14" s="7" t="s">
        <v>25</v>
      </c>
      <c r="F14" s="7">
        <v>158.8149</v>
      </c>
      <c r="G14" s="7" t="s">
        <v>26</v>
      </c>
      <c r="H14" s="7">
        <v>43.0</v>
      </c>
      <c r="I14" s="7">
        <v>106.0</v>
      </c>
      <c r="J14" s="7">
        <v>1.0</v>
      </c>
      <c r="K14" s="7">
        <v>11.0</v>
      </c>
    </row>
    <row r="15">
      <c r="A15" s="5">
        <v>3.0</v>
      </c>
      <c r="B15" s="5">
        <v>1.786823733E9</v>
      </c>
      <c r="C15" s="5" t="s">
        <v>29</v>
      </c>
      <c r="D15" s="5" t="s">
        <v>30</v>
      </c>
      <c r="E15" s="7" t="s">
        <v>15</v>
      </c>
      <c r="F15" s="7">
        <v>0.6281</v>
      </c>
      <c r="G15" s="7">
        <v>176.0</v>
      </c>
      <c r="H15" s="7">
        <v>67.0</v>
      </c>
      <c r="I15" s="7">
        <v>174.0</v>
      </c>
      <c r="J15" s="7">
        <v>1.0</v>
      </c>
      <c r="K15" s="7">
        <v>22.0</v>
      </c>
    </row>
    <row r="16">
      <c r="A16" s="8"/>
      <c r="B16" s="8"/>
      <c r="C16" s="8"/>
      <c r="D16" s="8"/>
      <c r="E16" s="7" t="s">
        <v>22</v>
      </c>
      <c r="F16" s="7">
        <v>0.4063</v>
      </c>
      <c r="G16" s="7">
        <v>90.0</v>
      </c>
      <c r="H16" s="7">
        <v>65.0</v>
      </c>
      <c r="I16" s="7">
        <v>267.0</v>
      </c>
      <c r="J16" s="7">
        <v>6.0</v>
      </c>
      <c r="K16" s="7">
        <v>22.0</v>
      </c>
    </row>
    <row r="17">
      <c r="A17" s="8"/>
      <c r="B17" s="8"/>
      <c r="C17" s="8"/>
      <c r="D17" s="8"/>
      <c r="E17" s="7" t="s">
        <v>23</v>
      </c>
      <c r="F17" s="7">
        <v>1750.2189</v>
      </c>
      <c r="G17" s="7">
        <v>13920.0</v>
      </c>
      <c r="H17" s="7">
        <v>69.0</v>
      </c>
      <c r="I17" s="7">
        <v>271.0</v>
      </c>
      <c r="J17" s="7">
        <v>6.0</v>
      </c>
      <c r="K17" s="7">
        <v>22.0</v>
      </c>
    </row>
    <row r="18">
      <c r="A18" s="8"/>
      <c r="B18" s="8"/>
      <c r="C18" s="8"/>
      <c r="D18" s="8"/>
      <c r="E18" s="7" t="s">
        <v>24</v>
      </c>
      <c r="F18" s="7">
        <v>3259.71</v>
      </c>
      <c r="G18" s="7">
        <v>854.0</v>
      </c>
      <c r="H18" s="7">
        <v>79.0</v>
      </c>
      <c r="I18" s="7">
        <v>305.0</v>
      </c>
      <c r="J18" s="7">
        <v>6.0</v>
      </c>
      <c r="K18" s="7">
        <v>28.0</v>
      </c>
    </row>
    <row r="19">
      <c r="A19" s="9"/>
      <c r="B19" s="9"/>
      <c r="C19" s="9"/>
      <c r="D19" s="9"/>
      <c r="E19" s="7" t="s">
        <v>25</v>
      </c>
      <c r="F19" s="7">
        <v>249.9031</v>
      </c>
      <c r="G19" s="7" t="s">
        <v>26</v>
      </c>
      <c r="H19" s="7">
        <v>80.0</v>
      </c>
      <c r="I19" s="7">
        <v>199.0</v>
      </c>
      <c r="J19" s="7">
        <v>1.0</v>
      </c>
      <c r="K19" s="7">
        <v>25.0</v>
      </c>
    </row>
    <row r="20">
      <c r="A20" s="5">
        <v>4.0</v>
      </c>
      <c r="B20" s="5">
        <v>1.786823938E9</v>
      </c>
      <c r="C20" s="5" t="s">
        <v>31</v>
      </c>
      <c r="D20" s="5" t="s">
        <v>32</v>
      </c>
      <c r="E20" s="7" t="s">
        <v>15</v>
      </c>
      <c r="F20" s="7">
        <v>0.7554</v>
      </c>
      <c r="G20" s="7">
        <v>133.0</v>
      </c>
      <c r="H20" s="7">
        <v>46.0</v>
      </c>
      <c r="I20" s="7">
        <v>223.0</v>
      </c>
      <c r="J20" s="7">
        <v>7.0</v>
      </c>
      <c r="K20" s="7">
        <v>11.0</v>
      </c>
    </row>
    <row r="21" ht="15.75" customHeight="1">
      <c r="A21" s="8"/>
      <c r="B21" s="8"/>
      <c r="C21" s="8"/>
      <c r="D21" s="8"/>
      <c r="E21" s="7" t="s">
        <v>22</v>
      </c>
      <c r="F21" s="7">
        <v>0.3559</v>
      </c>
      <c r="G21" s="7">
        <v>97.0</v>
      </c>
      <c r="H21" s="7">
        <v>66.0</v>
      </c>
      <c r="I21" s="7">
        <v>366.0</v>
      </c>
      <c r="J21" s="7">
        <v>12.0</v>
      </c>
      <c r="K21" s="7">
        <v>18.0</v>
      </c>
    </row>
    <row r="22" ht="15.75" customHeight="1">
      <c r="A22" s="8"/>
      <c r="B22" s="8"/>
      <c r="C22" s="8"/>
      <c r="D22" s="8"/>
      <c r="E22" s="7" t="s">
        <v>23</v>
      </c>
      <c r="F22" s="7">
        <v>1747.7436</v>
      </c>
      <c r="G22" s="7">
        <v>18287.0</v>
      </c>
      <c r="H22" s="7">
        <v>68.0</v>
      </c>
      <c r="I22" s="7">
        <v>319.0</v>
      </c>
      <c r="J22" s="7">
        <v>9.0</v>
      </c>
      <c r="K22" s="7">
        <v>20.0</v>
      </c>
    </row>
    <row r="23" ht="15.75" customHeight="1">
      <c r="A23" s="8"/>
      <c r="B23" s="8"/>
      <c r="C23" s="8"/>
      <c r="D23" s="8"/>
      <c r="E23" s="7" t="s">
        <v>24</v>
      </c>
      <c r="F23" s="7">
        <v>3393.48</v>
      </c>
      <c r="G23" s="7">
        <v>1128.0</v>
      </c>
      <c r="H23" s="7">
        <v>59.0</v>
      </c>
      <c r="I23" s="7">
        <v>308.0</v>
      </c>
      <c r="J23" s="7">
        <v>11.0</v>
      </c>
      <c r="K23" s="7">
        <v>10.0</v>
      </c>
    </row>
    <row r="24" ht="15.75" customHeight="1">
      <c r="A24" s="9"/>
      <c r="B24" s="9"/>
      <c r="C24" s="9"/>
      <c r="D24" s="9"/>
      <c r="E24" s="7" t="s">
        <v>25</v>
      </c>
      <c r="F24" s="7">
        <v>253.5226</v>
      </c>
      <c r="G24" s="7" t="s">
        <v>26</v>
      </c>
      <c r="H24" s="7">
        <v>87.0</v>
      </c>
      <c r="I24" s="7">
        <v>293.0</v>
      </c>
      <c r="J24" s="7">
        <v>6.0</v>
      </c>
      <c r="K24" s="7">
        <v>23.0</v>
      </c>
    </row>
    <row r="25" ht="15.75" customHeight="1">
      <c r="A25" s="5">
        <v>5.0</v>
      </c>
      <c r="B25" s="5">
        <v>1.786824114E9</v>
      </c>
      <c r="C25" s="5" t="s">
        <v>33</v>
      </c>
      <c r="D25" s="5" t="s">
        <v>34</v>
      </c>
      <c r="E25" s="7" t="s">
        <v>15</v>
      </c>
      <c r="F25" s="7">
        <v>0.5736</v>
      </c>
      <c r="G25" s="7">
        <v>65.0</v>
      </c>
      <c r="H25" s="7">
        <v>33.0</v>
      </c>
      <c r="I25" s="7">
        <v>100.0</v>
      </c>
      <c r="J25" s="7">
        <v>1.0</v>
      </c>
      <c r="K25" s="7">
        <v>12.0</v>
      </c>
    </row>
    <row r="26" ht="15.75" customHeight="1">
      <c r="A26" s="8"/>
      <c r="B26" s="8"/>
      <c r="C26" s="8"/>
      <c r="D26" s="8"/>
      <c r="E26" s="7" t="s">
        <v>22</v>
      </c>
      <c r="F26" s="7">
        <v>0.1422</v>
      </c>
      <c r="G26" s="7">
        <v>37.0</v>
      </c>
      <c r="H26" s="7">
        <v>31.0</v>
      </c>
      <c r="I26" s="7">
        <v>151.0</v>
      </c>
      <c r="J26" s="7">
        <v>4.0</v>
      </c>
      <c r="K26" s="7">
        <v>11.0</v>
      </c>
    </row>
    <row r="27" ht="15.75" customHeight="1">
      <c r="A27" s="8"/>
      <c r="B27" s="8"/>
      <c r="C27" s="8"/>
      <c r="D27" s="8"/>
      <c r="E27" s="7" t="s">
        <v>23</v>
      </c>
      <c r="F27" s="7">
        <v>1753.9581</v>
      </c>
      <c r="G27" s="7">
        <v>12642.0</v>
      </c>
      <c r="H27" s="7">
        <v>31.0</v>
      </c>
      <c r="I27" s="7">
        <v>151.0</v>
      </c>
      <c r="J27" s="7">
        <v>4.0</v>
      </c>
      <c r="K27" s="7">
        <v>11.0</v>
      </c>
    </row>
    <row r="28" ht="15.75" customHeight="1">
      <c r="A28" s="8"/>
      <c r="B28" s="8"/>
      <c r="C28" s="8"/>
      <c r="D28" s="8"/>
      <c r="E28" s="7" t="s">
        <v>24</v>
      </c>
      <c r="F28" s="7">
        <v>3648.9074</v>
      </c>
      <c r="G28" s="7">
        <v>1361.0</v>
      </c>
      <c r="H28" s="7">
        <v>33.0</v>
      </c>
      <c r="I28" s="7">
        <v>115.0</v>
      </c>
      <c r="J28" s="7">
        <v>2.0</v>
      </c>
      <c r="K28" s="7">
        <v>11.0</v>
      </c>
    </row>
    <row r="29" ht="15.75" customHeight="1">
      <c r="A29" s="9"/>
      <c r="B29" s="9"/>
      <c r="C29" s="9"/>
      <c r="D29" s="9"/>
      <c r="E29" s="7" t="s">
        <v>25</v>
      </c>
      <c r="F29" s="7">
        <v>202.3217</v>
      </c>
      <c r="G29" s="7" t="s">
        <v>26</v>
      </c>
      <c r="H29" s="7">
        <v>41.0</v>
      </c>
      <c r="I29" s="7">
        <v>116.0</v>
      </c>
      <c r="J29" s="7">
        <v>1.0</v>
      </c>
      <c r="K29" s="7">
        <v>14.0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J2"/>
    <mergeCell ref="A5:A9"/>
    <mergeCell ref="B5:B9"/>
    <mergeCell ref="C5:C9"/>
    <mergeCell ref="D5:D9"/>
    <mergeCell ref="A10:A14"/>
    <mergeCell ref="B10:B14"/>
    <mergeCell ref="B20:B24"/>
    <mergeCell ref="C20:C24"/>
    <mergeCell ref="A20:A24"/>
    <mergeCell ref="A25:A29"/>
    <mergeCell ref="B25:B29"/>
    <mergeCell ref="C25:C29"/>
    <mergeCell ref="D25:D29"/>
    <mergeCell ref="C10:C14"/>
    <mergeCell ref="D10:D14"/>
    <mergeCell ref="A15:A19"/>
    <mergeCell ref="B15:B19"/>
    <mergeCell ref="C15:C19"/>
    <mergeCell ref="D15:D19"/>
    <mergeCell ref="D20:D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4" width="18.0"/>
    <col customWidth="1" min="5" max="5" width="16.0"/>
    <col customWidth="1" min="6" max="7" width="14.0"/>
    <col customWidth="1" min="8" max="26" width="8.71"/>
  </cols>
  <sheetData>
    <row r="1">
      <c r="A1" s="1" t="s">
        <v>0</v>
      </c>
    </row>
    <row r="2">
      <c r="A2" s="2"/>
    </row>
    <row r="4">
      <c r="A4" s="3" t="s">
        <v>2</v>
      </c>
      <c r="B4" s="3" t="s">
        <v>4</v>
      </c>
      <c r="C4" s="3" t="s">
        <v>6</v>
      </c>
      <c r="D4" s="3" t="s">
        <v>8</v>
      </c>
      <c r="E4" s="3" t="s">
        <v>10</v>
      </c>
      <c r="F4" s="3" t="s">
        <v>11</v>
      </c>
      <c r="G4" s="3" t="s">
        <v>12</v>
      </c>
    </row>
    <row r="5">
      <c r="A5" s="4" t="s">
        <v>15</v>
      </c>
      <c r="B5" s="6">
        <f>AVERAGEIF(Iteraciones!$E:$E,"A~*",Iteraciones!$F:$F)</f>
        <v>0.55868</v>
      </c>
      <c r="C5" s="6">
        <f>IFERROR(AVERAGEIF(Iteraciones!$E:$E,"A~*",Iteraciones!$G:$G),"N/A")</f>
        <v>106.4</v>
      </c>
      <c r="D5" s="6">
        <f>AVERAGEIF(Iteraciones!$E:$E,"A~*",Iteraciones!$H:$H)</f>
        <v>47</v>
      </c>
      <c r="E5" s="6">
        <f>AVERAGEIF(Iteraciones!$E:$E,"A~*",Iteraciones!$I:$I)</f>
        <v>159.2</v>
      </c>
      <c r="F5" s="6">
        <f>AVERAGEIF(Iteraciones!$E:$E,"A~*",Iteraciones!$J:$J)</f>
        <v>3</v>
      </c>
      <c r="G5" s="6">
        <f>AVERAGEIF(Iteraciones!$E:$E,"A~*",Iteraciones!$K:$K)</f>
        <v>13.8</v>
      </c>
    </row>
    <row r="6">
      <c r="A6" s="4" t="s">
        <v>22</v>
      </c>
      <c r="B6" s="6">
        <f>AVERAGEIF(Iteraciones!$E:$E,"Greedy",Iteraciones!$F:$F)</f>
        <v>0.25428</v>
      </c>
      <c r="C6" s="6">
        <f>IFERROR(AVERAGEIF(Iteraciones!$E:$E,"Greedy",Iteraciones!$G:$G),"N/A")</f>
        <v>68.8</v>
      </c>
      <c r="D6" s="6">
        <f>AVERAGEIF(Iteraciones!$E:$E,"Greedy",Iteraciones!$H:$H)</f>
        <v>50.2</v>
      </c>
      <c r="E6" s="6">
        <f>AVERAGEIF(Iteraciones!$E:$E,"Greedy",Iteraciones!$I:$I)</f>
        <v>234.2</v>
      </c>
      <c r="F6" s="6">
        <f>AVERAGEIF(Iteraciones!$E:$E,"Greedy",Iteraciones!$J:$J)</f>
        <v>6.4</v>
      </c>
      <c r="G6" s="6">
        <f>AVERAGEIF(Iteraciones!$E:$E,"Greedy",Iteraciones!$K:$K)</f>
        <v>15.6</v>
      </c>
    </row>
    <row r="7">
      <c r="A7" s="4" t="s">
        <v>23</v>
      </c>
      <c r="B7" s="6">
        <f>AVERAGEIF(Iteraciones!$E:$E,"ACO",Iteraciones!$F:$F)</f>
        <v>1747.9896</v>
      </c>
      <c r="C7" s="6">
        <f>IFERROR(AVERAGEIF(Iteraciones!$E:$E,"ACO",Iteraciones!$G:$G),"N/A")</f>
        <v>15136</v>
      </c>
      <c r="D7" s="6">
        <f>AVERAGEIF(Iteraciones!$E:$E,"ACO",Iteraciones!$H:$H)</f>
        <v>55.4</v>
      </c>
      <c r="E7" s="6">
        <f>AVERAGEIF(Iteraciones!$E:$E,"ACO",Iteraciones!$I:$I)</f>
        <v>232.6</v>
      </c>
      <c r="F7" s="6">
        <f>AVERAGEIF(Iteraciones!$E:$E,"ACO",Iteraciones!$J:$J)</f>
        <v>6</v>
      </c>
      <c r="G7" s="6">
        <f>AVERAGEIF(Iteraciones!$E:$E,"ACO",Iteraciones!$K:$K)</f>
        <v>15.8</v>
      </c>
    </row>
    <row r="8">
      <c r="A8" s="4" t="s">
        <v>24</v>
      </c>
      <c r="B8" s="6">
        <f>AVERAGEIF(Iteraciones!$E:$E,"RRT~*",Iteraciones!$F:$F)</f>
        <v>3462.61366</v>
      </c>
      <c r="C8" s="6">
        <f>IFERROR(AVERAGEIF(Iteraciones!$E:$E,"RRT~*",Iteraciones!$G:$G),"N/A")</f>
        <v>1188.8</v>
      </c>
      <c r="D8" s="6">
        <f>AVERAGEIF(Iteraciones!$E:$E,"RRT~*",Iteraciones!$H:$H)</f>
        <v>57.4</v>
      </c>
      <c r="E8" s="6">
        <f>AVERAGEIF(Iteraciones!$E:$E,"RRT~*",Iteraciones!$I:$I)</f>
        <v>232.2</v>
      </c>
      <c r="F8" s="6">
        <f>AVERAGEIF(Iteraciones!$E:$E,"RRT~*",Iteraciones!$J:$J)</f>
        <v>6</v>
      </c>
      <c r="G8" s="6">
        <f>AVERAGEIF(Iteraciones!$E:$E,"RRT~*",Iteraciones!$K:$K)</f>
        <v>15.2</v>
      </c>
    </row>
    <row r="9">
      <c r="A9" s="4" t="s">
        <v>25</v>
      </c>
      <c r="B9" s="6">
        <f>AVERAGEIF(Iteraciones!$E:$E,"Native",Iteraciones!$F:$F)</f>
        <v>226.49066</v>
      </c>
      <c r="C9" s="6" t="str">
        <f>IFERROR(AVERAGEIF(Iteraciones!$E:$E,"Native",Iteraciones!$G:$G),"N/A")</f>
        <v>N/A</v>
      </c>
      <c r="D9" s="6">
        <f>AVERAGEIF(Iteraciones!$E:$E,"Native",Iteraciones!$H:$H)</f>
        <v>67</v>
      </c>
      <c r="E9" s="6">
        <f>AVERAGEIF(Iteraciones!$E:$E,"Native",Iteraciones!$I:$I)</f>
        <v>187</v>
      </c>
      <c r="F9" s="6">
        <f>AVERAGEIF(Iteraciones!$E:$E,"Native",Iteraciones!$J:$J)</f>
        <v>2.4</v>
      </c>
      <c r="G9" s="6">
        <f>AVERAGEIF(Iteraciones!$E:$E,"Native",Iteraciones!$K:$K)</f>
        <v>18.6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paperSize="9" orientation="portrait"/>
  <drawing r:id="rId1"/>
</worksheet>
</file>